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ab48c4663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期初库存" sheetId="1" r:id="Re0ae3815340940f9"/>
    <x:sheet xmlns:r="http://schemas.openxmlformats.org/officeDocument/2006/relationships" name="历史订单" sheetId="2" r:id="R74920ad83c6a4bc4"/>
    <x:sheet xmlns:r="http://schemas.openxmlformats.org/officeDocument/2006/relationships" name="财务流水" sheetId="3" r:id="R85d40d00f817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4E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0FDFA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b125d15be46ea" /><Relationship Type="http://schemas.openxmlformats.org/officeDocument/2006/relationships/theme" Target="/xl/theme/theme1.xml" Id="R8ada005c85644b3d" /><Relationship Type="http://schemas.openxmlformats.org/officeDocument/2006/relationships/sharedStrings" Target="/xl/sharedStrings.xml" Id="R7a8ed8347c304cf5" /><Relationship Type="http://schemas.openxmlformats.org/officeDocument/2006/relationships/worksheet" Target="/xl/worksheets/sheet1.xml" Id="Re0ae3815340940f9" /><Relationship Type="http://schemas.openxmlformats.org/officeDocument/2006/relationships/worksheet" Target="/xl/worksheets/sheet2.xml" Id="R74920ad83c6a4bc4" /><Relationship Type="http://schemas.openxmlformats.org/officeDocument/2006/relationships/worksheet" Target="/xl/worksheets/sheet3.xml" Id="R85d40d00f8174b4d" /></Relationships>
</file>

<file path=xl/tables/table1.xml><?xml version="1.0" encoding="utf-8"?>
<x:table xmlns:x="http://schemas.openxmlformats.org/spreadsheetml/2006/main" id="1" name="OpeningInventory" displayName="OpeningInventory" ref="A4:P8" headerRowCount="1" totalsRowCount="0" totalsRowShown="0">
  <x:tableColumns count="16">
    <x:tableColumn id="1" name="物料编码"/>
    <x:tableColumn id="2" name="物料名称"/>
    <x:tableColumn id="3" name="物料类型"/>
    <x:tableColumn id="4" name="内部批次号"/>
    <x:tableColumn id="5" name="供应商批号"/>
    <x:tableColumn id="6" name="库位"/>
    <x:tableColumn id="7" name="库存状态"/>
    <x:tableColumn id="8" name="数量"/>
    <x:tableColumn id="9" name="单位"/>
    <x:tableColumn id="10" name="单位成本(CNY)"/>
    <x:tableColumn id="11" name="库存金额(CNY)"/>
    <x:tableColumn id="12" name="生产日期"/>
    <x:tableColumn id="13" name="到期日期"/>
    <x:tableColumn id="14" name="供应商"/>
    <x:tableColumn id="15" name="期初日期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icalOrders" displayName="HistoricalOrders" ref="A4:S8" headerRowCount="1" totalsRowCount="0" totalsRowShown="0">
  <x:tableColumns count="19">
    <x:tableColumn id="1" name="单据类型"/>
    <x:tableColumn id="2" name="单据编号"/>
    <x:tableColumn id="3" name="单据日期"/>
    <x:tableColumn id="4" name="往来单位"/>
    <x:tableColumn id="5" name="物料编码"/>
    <x:tableColumn id="6" name="物料名称"/>
    <x:tableColumn id="7" name="数量"/>
    <x:tableColumn id="8" name="单位"/>
    <x:tableColumn id="9" name="交易币种"/>
    <x:tableColumn id="10" name="汇率(CNY)"/>
    <x:tableColumn id="11" name="未税单价"/>
    <x:tableColumn id="12" name="税率"/>
    <x:tableColumn id="13" name="未税金额"/>
    <x:tableColumn id="14" name="税额"/>
    <x:tableColumn id="15" name="含税金额"/>
    <x:tableColumn id="16" name="人民币未税金额"/>
    <x:tableColumn id="17" name="人民币含税金额"/>
    <x:tableColumn id="18" name="状态"/>
    <x:tableColumn id="19" name="来源单据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ncialFlows" displayName="FinancialFlows" ref="A4:L7" headerRowCount="1" totalsRowCount="0" totalsRowShown="0">
  <x:tableColumns count="12">
    <x:tableColumn id="1" name="流水日期"/>
    <x:tableColumn id="2" name="流水编号"/>
    <x:tableColumn id="3" name="收支类型"/>
    <x:tableColumn id="4" name="往来单位"/>
    <x:tableColumn id="5" name="交易币种"/>
    <x:tableColumn id="6" name="汇率(CNY)"/>
    <x:tableColumn id="7" name="交易金额"/>
    <x:tableColumn id="8" name="人民币金额"/>
    <x:tableColumn id="9" name="关联订单号"/>
    <x:tableColumn id="10" name="摘要"/>
    <x:tableColumn id="11" name="来源文件名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b05d7d807d42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1354a73ccd42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01899e486d47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7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14" hidden="0" customWidth="1"/>
    <x:col min="16" max="16" width="18" hidden="0" customWidth="1"/>
  </x:cols>
  <x:sheetData>
    <x:row r="1" ht="28" customHeight="1">
      <x:c r="A1" s="4" t="str">
        <x:v>一期数据导入样例 - 期初库存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6" customHeight="1">
      <x:c r="A2" s="8" t="str">
        <x:v>仅导入可用、冻结或隔离的期初批次；物料编码、批次号、数量、单位、生产日期和到期日期为必填字段。金额以人民币（CNY）为本位币。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0" customHeight="1">
      <x:c r="A4" s="13" t="str">
        <x:v>物料编码</x:v>
      </x:c>
      <x:c r="B4" s="13" t="str">
        <x:v>物料名称</x:v>
      </x:c>
      <x:c r="C4" s="13" t="str">
        <x:v>物料类型</x:v>
      </x:c>
      <x:c r="D4" s="13" t="str">
        <x:v>内部批次号</x:v>
      </x:c>
      <x:c r="E4" s="13" t="str">
        <x:v>供应商批号</x:v>
      </x:c>
      <x:c r="F4" s="13" t="str">
        <x:v>库位</x:v>
      </x:c>
      <x:c r="G4" s="13" t="str">
        <x:v>库存状态</x:v>
      </x:c>
      <x:c r="H4" s="13" t="str">
        <x:v>数量</x:v>
      </x:c>
      <x:c r="I4" s="13" t="str">
        <x:v>单位</x:v>
      </x:c>
      <x:c r="J4" s="13" t="str">
        <x:v>单位成本(CNY)</x:v>
      </x:c>
      <x:c r="K4" s="13" t="str">
        <x:v>库存金额(CNY)</x:v>
      </x:c>
      <x:c r="L4" s="13" t="str">
        <x:v>生产日期</x:v>
      </x:c>
      <x:c r="M4" s="13" t="str">
        <x:v>到期日期</x:v>
      </x:c>
      <x:c r="N4" s="13" t="str">
        <x:v>供应商</x:v>
      </x:c>
      <x:c r="O4" s="13" t="str">
        <x:v>期初日期</x:v>
      </x:c>
      <x:c r="P4" s="13" t="str">
        <x:v>备注</x:v>
      </x:c>
    </x:row>
    <x:row r="5">
      <x:c r="A5" s="20" t="str">
        <x:v>RM-NR-001</x:v>
      </x:c>
      <x:c r="B5" s="20" t="str">
        <x:v>天然橡胶</x:v>
      </x:c>
      <x:c r="C5" s="20" t="str">
        <x:v>原材料</x:v>
      </x:c>
      <x:c r="D5" s="20" t="str">
        <x:v>B-NR-20260725</x:v>
      </x:c>
      <x:c r="E5" s="20" t="str">
        <x:v>SUP-NR-0725</x:v>
      </x:c>
      <x:c r="F5" s="20" t="str">
        <x:v>原料区-A01</x:v>
      </x:c>
      <x:c r="G5" s="20" t="str">
        <x:v>可用</x:v>
      </x:c>
      <x:c r="H5" s="21" t="n">
        <x:v>1000</x:v>
      </x:c>
      <x:c r="I5" s="20" t="str">
        <x:v>KG</x:v>
      </x:c>
      <x:c r="J5" s="21" t="n">
        <x:v>12.5</x:v>
      </x:c>
      <x:c r="K5" s="21" t="n">
        <x:v>12500</x:v>
      </x:c>
      <x:c r="L5" s="22" t="n">
        <x:v>46228</x:v>
      </x:c>
      <x:c r="M5" s="22" t="n">
        <x:v>46592</x:v>
      </x:c>
      <x:c r="N5" s="20" t="str">
        <x:v>华东橡胶供应商</x:v>
      </x:c>
      <x:c r="O5" s="22" t="n">
        <x:v>46235</x:v>
      </x:c>
      <x:c r="P5" s="20" t="str">
        <x:v>期初盘点导入</x:v>
      </x:c>
    </x:row>
    <x:row r="6">
      <x:c r="A6" s="20" t="str">
        <x:v>RM-CB-001</x:v>
      </x:c>
      <x:c r="B6" s="20" t="str">
        <x:v>炭黑 N330</x:v>
      </x:c>
      <x:c r="C6" s="20" t="str">
        <x:v>原材料</x:v>
      </x:c>
      <x:c r="D6" s="20" t="str">
        <x:v>B-CB-20260610</x:v>
      </x:c>
      <x:c r="E6" s="20" t="str">
        <x:v>SUP-CB-0610</x:v>
      </x:c>
      <x:c r="F6" s="20" t="str">
        <x:v>原料区-A02</x:v>
      </x:c>
      <x:c r="G6" s="20" t="str">
        <x:v>可用</x:v>
      </x:c>
      <x:c r="H6" s="21" t="n">
        <x:v>500</x:v>
      </x:c>
      <x:c r="I6" s="20" t="str">
        <x:v>KG</x:v>
      </x:c>
      <x:c r="J6" s="21" t="n">
        <x:v>8.2</x:v>
      </x:c>
      <x:c r="K6" s="21" t="n">
        <x:v>4100</x:v>
      </x:c>
      <x:c r="L6" s="22" t="n">
        <x:v>46183</x:v>
      </x:c>
      <x:c r="M6" s="22" t="n">
        <x:v>46547</x:v>
      </x:c>
      <x:c r="N6" s="20" t="str">
        <x:v>华北炭黑供应商</x:v>
      </x:c>
      <x:c r="O6" s="22" t="n">
        <x:v>46235</x:v>
      </x:c>
      <x:c r="P6" s="20" t="str">
        <x:v>期初盘点导入</x:v>
      </x:c>
    </x:row>
    <x:row r="7">
      <x:c r="A7" s="20" t="str">
        <x:v>SP-MIX-001</x:v>
      </x:c>
      <x:c r="B7" s="20" t="str">
        <x:v>EPDM 混炼胶</x:v>
      </x:c>
      <x:c r="C7" s="20" t="str">
        <x:v>半成品</x:v>
      </x:c>
      <x:c r="D7" s="20" t="str">
        <x:v>B-MIX-20260730</x:v>
      </x:c>
      <x:c r="E7" s="20" t="str">
        <x:v>MO-20260730-001</x:v>
      </x:c>
      <x:c r="F7" s="20" t="str">
        <x:v>生产暂存区-C01</x:v>
      </x:c>
      <x:c r="G7" s="20" t="str">
        <x:v>可用</x:v>
      </x:c>
      <x:c r="H7" s="21" t="n">
        <x:v>320</x:v>
      </x:c>
      <x:c r="I7" s="20" t="str">
        <x:v>KG</x:v>
      </x:c>
      <x:c r="J7" s="21" t="n">
        <x:v>18.65</x:v>
      </x:c>
      <x:c r="K7" s="21" t="n">
        <x:v>5968</x:v>
      </x:c>
      <x:c r="L7" s="22" t="n">
        <x:v>46233</x:v>
      </x:c>
      <x:c r="M7" s="22" t="n">
        <x:v>46323</x:v>
      </x:c>
      <x:c r="N7" s="20" t="str">
        <x:v>自产</x:v>
      </x:c>
      <x:c r="O7" s="22" t="n">
        <x:v>46235</x:v>
      </x:c>
      <x:c r="P7" s="20" t="str">
        <x:v>关联历史生产订单</x:v>
      </x:c>
    </x:row>
    <x:row r="8">
      <x:c r="A8" s="20" t="str">
        <x:v>FG-OR-001</x:v>
      </x:c>
      <x:c r="B8" s="20" t="str">
        <x:v>EPDM 密封圈</x:v>
      </x:c>
      <x:c r="C8" s="20" t="str">
        <x:v>成品</x:v>
      </x:c>
      <x:c r="D8" s="20" t="str">
        <x:v>B-FG-20260731</x:v>
      </x:c>
      <x:c r="E8" s="20" t="str">
        <x:v>MO-20260731-002</x:v>
      </x:c>
      <x:c r="F8" s="20" t="str">
        <x:v>成品区-D01</x:v>
      </x:c>
      <x:c r="G8" s="20" t="str">
        <x:v>可用</x:v>
      </x:c>
      <x:c r="H8" s="21" t="n">
        <x:v>8000</x:v>
      </x:c>
      <x:c r="I8" s="20" t="str">
        <x:v>PCS</x:v>
      </x:c>
      <x:c r="J8" s="21" t="n">
        <x:v>1.48</x:v>
      </x:c>
      <x:c r="K8" s="21" t="n">
        <x:v>11840</x:v>
      </x:c>
      <x:c r="L8" s="22" t="n">
        <x:v>46234</x:v>
      </x:c>
      <x:c r="M8" s="22" t="n">
        <x:v>46598</x:v>
      </x:c>
      <x:c r="N8" s="20" t="str">
        <x:v>自产</x:v>
      </x:c>
      <x:c r="O8" s="22" t="n">
        <x:v>46235</x:v>
      </x:c>
      <x:c r="P8" s="20" t="str">
        <x:v>可用于销售发货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d8b05d7d807d42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</x:cols>
  <x:sheetData>
    <x:row r="1" ht="28" customHeight="1">
      <x:c r="A1" s="4" t="str">
        <x:v>一期数据导入样例 - 历史订单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6" customHeight="1">
      <x:c r="A2" s="8" t="str">
        <x:v>一行代表一张订单的一个物料行。未税金额、税额、含税金额及人民币折算金额为公式列；导入正式数据时可提供已计算值或由系统复算。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4" ht="30" customHeight="1">
      <x:c r="A4" s="13" t="str">
        <x:v>单据类型</x:v>
      </x:c>
      <x:c r="B4" s="13" t="str">
        <x:v>单据编号</x:v>
      </x:c>
      <x:c r="C4" s="13" t="str">
        <x:v>单据日期</x:v>
      </x:c>
      <x:c r="D4" s="13" t="str">
        <x:v>往来单位</x:v>
      </x:c>
      <x:c r="E4" s="13" t="str">
        <x:v>物料编码</x:v>
      </x:c>
      <x:c r="F4" s="13" t="str">
        <x:v>物料名称</x:v>
      </x:c>
      <x:c r="G4" s="13" t="str">
        <x:v>数量</x:v>
      </x:c>
      <x:c r="H4" s="13" t="str">
        <x:v>单位</x:v>
      </x:c>
      <x:c r="I4" s="13" t="str">
        <x:v>交易币种</x:v>
      </x:c>
      <x:c r="J4" s="13" t="str">
        <x:v>汇率(CNY)</x:v>
      </x:c>
      <x:c r="K4" s="13" t="str">
        <x:v>未税单价</x:v>
      </x:c>
      <x:c r="L4" s="13" t="str">
        <x:v>税率</x:v>
      </x:c>
      <x:c r="M4" s="13" t="str">
        <x:v>未税金额</x:v>
      </x:c>
      <x:c r="N4" s="13" t="str">
        <x:v>税额</x:v>
      </x:c>
      <x:c r="O4" s="13" t="str">
        <x:v>含税金额</x:v>
      </x:c>
      <x:c r="P4" s="13" t="str">
        <x:v>人民币未税金额</x:v>
      </x:c>
      <x:c r="Q4" s="13" t="str">
        <x:v>人民币含税金额</x:v>
      </x:c>
      <x:c r="R4" s="13" t="str">
        <x:v>状态</x:v>
      </x:c>
      <x:c r="S4" s="13" t="str">
        <x:v>来源单据号</x:v>
      </x:c>
    </x:row>
    <x:row r="5">
      <x:c r="A5" s="20" t="str">
        <x:v>采购订单</x:v>
      </x:c>
      <x:c r="B5" s="20" t="str">
        <x:v>PO-202607-001</x:v>
      </x:c>
      <x:c r="C5" s="22" t="n">
        <x:v>46218</x:v>
      </x:c>
      <x:c r="D5" s="20" t="str">
        <x:v>华东橡胶供应商</x:v>
      </x:c>
      <x:c r="E5" s="20" t="str">
        <x:v>RM-NR-001</x:v>
      </x:c>
      <x:c r="F5" s="20" t="str">
        <x:v>天然橡胶</x:v>
      </x:c>
      <x:c r="G5" s="21" t="n">
        <x:v>1000</x:v>
      </x:c>
      <x:c r="H5" s="20" t="str">
        <x:v>KG</x:v>
      </x:c>
      <x:c r="I5" s="20" t="str">
        <x:v>CNY</x:v>
      </x:c>
      <x:c r="J5" s="21" t="n">
        <x:v>1</x:v>
      </x:c>
      <x:c r="K5" s="21" t="n">
        <x:v>12.5</x:v>
      </x:c>
      <x:c r="L5" s="25" t="n">
        <x:v>0.13</x:v>
      </x:c>
      <x:c r="M5" s="21" t="n">
        <x:f>G5*K5</x:f>
        <x:v>12500</x:v>
      </x:c>
      <x:c r="N5" s="21" t="n">
        <x:f>M5*L5</x:f>
        <x:v>1625</x:v>
      </x:c>
      <x:c r="O5" s="21" t="n">
        <x:f>M5+N5</x:f>
        <x:v>14125</x:v>
      </x:c>
      <x:c r="P5" s="21" t="n">
        <x:f>M5*J5</x:f>
        <x:v>12500</x:v>
      </x:c>
      <x:c r="Q5" s="21" t="n">
        <x:f>O5*J5</x:f>
        <x:v>14125</x:v>
      </x:c>
      <x:c r="R5" s="20" t="str">
        <x:v>已完成</x:v>
      </x:c>
      <x:c r="S5" s="20" t="str">
        <x:v>采购入库单-PI-202607-001</x:v>
      </x:c>
    </x:row>
    <x:row r="6">
      <x:c r="A6" s="20" t="str">
        <x:v>采购订单</x:v>
      </x:c>
      <x:c r="B6" s="20" t="str">
        <x:v>PO-202607-002</x:v>
      </x:c>
      <x:c r="C6" s="22" t="n">
        <x:v>46221</x:v>
      </x:c>
      <x:c r="D6" s="20" t="str">
        <x:v>华北炭黑供应商</x:v>
      </x:c>
      <x:c r="E6" s="20" t="str">
        <x:v>RM-CB-001</x:v>
      </x:c>
      <x:c r="F6" s="20" t="str">
        <x:v>炭黑 N330</x:v>
      </x:c>
      <x:c r="G6" s="21" t="n">
        <x:v>500</x:v>
      </x:c>
      <x:c r="H6" s="20" t="str">
        <x:v>KG</x:v>
      </x:c>
      <x:c r="I6" s="20" t="str">
        <x:v>CNY</x:v>
      </x:c>
      <x:c r="J6" s="21" t="n">
        <x:v>1</x:v>
      </x:c>
      <x:c r="K6" s="21" t="n">
        <x:v>8.2</x:v>
      </x:c>
      <x:c r="L6" s="25" t="n">
        <x:v>0.13</x:v>
      </x:c>
      <x:c r="M6" s="21" t="n">
        <x:f>G6*K6</x:f>
        <x:v>4100</x:v>
      </x:c>
      <x:c r="N6" s="21" t="n">
        <x:f>M6*L6</x:f>
        <x:v>533</x:v>
      </x:c>
      <x:c r="O6" s="21" t="n">
        <x:f>M6+N6</x:f>
        <x:v>4633</x:v>
      </x:c>
      <x:c r="P6" s="21" t="n">
        <x:f>M6*J6</x:f>
        <x:v>4100</x:v>
      </x:c>
      <x:c r="Q6" s="21" t="n">
        <x:f>O6*J6</x:f>
        <x:v>4633</x:v>
      </x:c>
      <x:c r="R6" s="20" t="str">
        <x:v>已完成</x:v>
      </x:c>
      <x:c r="S6" s="20" t="str">
        <x:v>采购入库单-PI-202607-002</x:v>
      </x:c>
    </x:row>
    <x:row r="7">
      <x:c r="A7" s="20" t="str">
        <x:v>销售订单</x:v>
      </x:c>
      <x:c r="B7" s="20" t="str">
        <x:v>SO-202607-001</x:v>
      </x:c>
      <x:c r="C7" s="22" t="n">
        <x:v>46232</x:v>
      </x:c>
      <x:c r="D7" s="20" t="str">
        <x:v>苏州密封件客户</x:v>
      </x:c>
      <x:c r="E7" s="20" t="str">
        <x:v>FG-OR-001</x:v>
      </x:c>
      <x:c r="F7" s="20" t="str">
        <x:v>EPDM 密封圈</x:v>
      </x:c>
      <x:c r="G7" s="21" t="n">
        <x:v>3000</x:v>
      </x:c>
      <x:c r="H7" s="20" t="str">
        <x:v>PCS</x:v>
      </x:c>
      <x:c r="I7" s="20" t="str">
        <x:v>CNY</x:v>
      </x:c>
      <x:c r="J7" s="21" t="n">
        <x:v>1</x:v>
      </x:c>
      <x:c r="K7" s="21" t="n">
        <x:v>2.1</x:v>
      </x:c>
      <x:c r="L7" s="25" t="n">
        <x:v>0.13</x:v>
      </x:c>
      <x:c r="M7" s="21" t="n">
        <x:f>G7*K7</x:f>
        <x:v>6300</x:v>
      </x:c>
      <x:c r="N7" s="21" t="n">
        <x:f>M7*L7</x:f>
        <x:v>819</x:v>
      </x:c>
      <x:c r="O7" s="21" t="n">
        <x:f>M7+N7</x:f>
        <x:v>7119</x:v>
      </x:c>
      <x:c r="P7" s="21" t="n">
        <x:f>M7*J7</x:f>
        <x:v>6300</x:v>
      </x:c>
      <x:c r="Q7" s="21" t="n">
        <x:f>O7*J7</x:f>
        <x:v>7119</x:v>
      </x:c>
      <x:c r="R7" s="20" t="str">
        <x:v>已完成</x:v>
      </x:c>
      <x:c r="S7" s="20" t="str">
        <x:v>销售出库单-SO-202607-001</x:v>
      </x:c>
    </x:row>
    <x:row r="8">
      <x:c r="A8" s="20" t="str">
        <x:v>销售订单</x:v>
      </x:c>
      <x:c r="B8" s="20" t="str">
        <x:v>SO-202607-002</x:v>
      </x:c>
      <x:c r="C8" s="22" t="n">
        <x:v>46233</x:v>
      </x:c>
      <x:c r="D8" s="20" t="str">
        <x:v>US Rubber Parts LLC</x:v>
      </x:c>
      <x:c r="E8" s="20" t="str">
        <x:v>FG-OR-001</x:v>
      </x:c>
      <x:c r="F8" s="20" t="str">
        <x:v>EPDM 密封圈</x:v>
      </x:c>
      <x:c r="G8" s="21" t="n">
        <x:v>2000</x:v>
      </x:c>
      <x:c r="H8" s="20" t="str">
        <x:v>PCS</x:v>
      </x:c>
      <x:c r="I8" s="20" t="str">
        <x:v>USD</x:v>
      </x:c>
      <x:c r="J8" s="21" t="n">
        <x:v>7.18</x:v>
      </x:c>
      <x:c r="K8" s="21" t="n">
        <x:v>0.31</x:v>
      </x:c>
      <x:c r="L8" s="25" t="n">
        <x:v>0</x:v>
      </x:c>
      <x:c r="M8" s="21" t="n">
        <x:f>G8*K8</x:f>
        <x:v>620</x:v>
      </x:c>
      <x:c r="N8" s="21" t="n">
        <x:f>M8*L8</x:f>
        <x:v>0</x:v>
      </x:c>
      <x:c r="O8" s="21" t="n">
        <x:f>M8+N8</x:f>
        <x:v>620</x:v>
      </x:c>
      <x:c r="P8" s="21" t="n">
        <x:f>M8*J8</x:f>
        <x:v>4451.599999999999</x:v>
      </x:c>
      <x:c r="Q8" s="21" t="n">
        <x:f>O8*J8</x:f>
        <x:v>4451.599999999999</x:v>
      </x:c>
      <x:c r="R8" s="20" t="str">
        <x:v>已完成</x:v>
      </x:c>
      <x:c r="S8" s="20" t="str">
        <x:v>销售出库单-SO-202607-002</x:v>
      </x:c>
    </x:row>
  </x:sheetData>
  <x:mergeCells>
    <x:mergeCell ref="A1:S1"/>
    <x:mergeCell ref="A2:S2"/>
  </x:mergeCells>
  <x:dataValidations count="2">
    <x:dataValidation type="list" sqref="I5:I100">
      <x:formula1>"CNY,USD"</x:formula1>
    </x:dataValidation>
    <x:dataValidation type="list" sqref="A5:A100">
      <x:formula1>"采购订单,销售订单"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1354a73ccd42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25" hidden="0" customWidth="1"/>
    <x:col min="12" max="12" width="25" hidden="0" customWidth="1"/>
  </x:cols>
  <x:sheetData>
    <x:row r="1" ht="28" customHeight="1">
      <x:c r="A1" s="4" t="str">
        <x:v>一期数据导入样例 - 财务流水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6" customHeight="1">
      <x:c r="A2" s="8" t="str">
        <x:v>一期财务流水仅用于导入、查询、标注与关联订单，不执行自动核销或凭证生成。人民币金额由交易金额和汇率公式计算。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13" t="str">
        <x:v>流水日期</x:v>
      </x:c>
      <x:c r="B4" s="13" t="str">
        <x:v>流水编号</x:v>
      </x:c>
      <x:c r="C4" s="13" t="str">
        <x:v>收支类型</x:v>
      </x:c>
      <x:c r="D4" s="13" t="str">
        <x:v>往来单位</x:v>
      </x:c>
      <x:c r="E4" s="13" t="str">
        <x:v>交易币种</x:v>
      </x:c>
      <x:c r="F4" s="13" t="str">
        <x:v>汇率(CNY)</x:v>
      </x:c>
      <x:c r="G4" s="13" t="str">
        <x:v>交易金额</x:v>
      </x:c>
      <x:c r="H4" s="13" t="str">
        <x:v>人民币金额</x:v>
      </x:c>
      <x:c r="I4" s="13" t="str">
        <x:v>关联订单号</x:v>
      </x:c>
      <x:c r="J4" s="13" t="str">
        <x:v>摘要</x:v>
      </x:c>
      <x:c r="K4" s="13" t="str">
        <x:v>来源文件名</x:v>
      </x:c>
      <x:c r="L4" s="13" t="str">
        <x:v>备注</x:v>
      </x:c>
    </x:row>
    <x:row r="5">
      <x:c r="A5" s="22" t="n">
        <x:v>46223</x:v>
      </x:c>
      <x:c r="B5" s="20" t="str">
        <x:v>BANK-20260720-001</x:v>
      </x:c>
      <x:c r="C5" s="20" t="str">
        <x:v>付款</x:v>
      </x:c>
      <x:c r="D5" s="20" t="str">
        <x:v>华东橡胶供应商</x:v>
      </x:c>
      <x:c r="E5" s="20" t="str">
        <x:v>CNY</x:v>
      </x:c>
      <x:c r="F5" s="21" t="n">
        <x:v>1</x:v>
      </x:c>
      <x:c r="G5" s="21" t="n">
        <x:v>14125</x:v>
      </x:c>
      <x:c r="H5" s="21" t="n">
        <x:f>F5*G5</x:f>
        <x:v>14125</x:v>
      </x:c>
      <x:c r="I5" s="20" t="str">
        <x:v>PO-202607-001</x:v>
      </x:c>
      <x:c r="J5" s="20" t="str">
        <x:v>采购订单付款</x:v>
      </x:c>
      <x:c r="K5" s="20" t="str">
        <x:v>银行流水-20260720.xlsx</x:v>
      </x:c>
      <x:c r="L5" s="20" t="str">
        <x:v>待人工关联采购入库单</x:v>
      </x:c>
    </x:row>
    <x:row r="6">
      <x:c r="A6" s="22" t="n">
        <x:v>46234</x:v>
      </x:c>
      <x:c r="B6" s="20" t="str">
        <x:v>BANK-20260731-001</x:v>
      </x:c>
      <x:c r="C6" s="20" t="str">
        <x:v>收款</x:v>
      </x:c>
      <x:c r="D6" s="20" t="str">
        <x:v>苏州密封件客户</x:v>
      </x:c>
      <x:c r="E6" s="20" t="str">
        <x:v>CNY</x:v>
      </x:c>
      <x:c r="F6" s="21" t="n">
        <x:v>1</x:v>
      </x:c>
      <x:c r="G6" s="21" t="n">
        <x:v>7119</x:v>
      </x:c>
      <x:c r="H6" s="21" t="n">
        <x:f>F6*G6</x:f>
        <x:v>7119</x:v>
      </x:c>
      <x:c r="I6" s="20" t="str">
        <x:v>SO-202607-001</x:v>
      </x:c>
      <x:c r="J6" s="20" t="str">
        <x:v>销售订单收款</x:v>
      </x:c>
      <x:c r="K6" s="20" t="str">
        <x:v>银行流水-20260731.xlsx</x:v>
      </x:c>
      <x:c r="L6" s="20" t="str">
        <x:v>一期仅查询，不自动核销</x:v>
      </x:c>
    </x:row>
    <x:row r="7">
      <x:c r="A7" s="22" t="n">
        <x:v>46236</x:v>
      </x:c>
      <x:c r="B7" s="20" t="str">
        <x:v>BANK-20260802-001</x:v>
      </x:c>
      <x:c r="C7" s="20" t="str">
        <x:v>收款</x:v>
      </x:c>
      <x:c r="D7" s="20" t="str">
        <x:v>US Rubber Parts LLC</x:v>
      </x:c>
      <x:c r="E7" s="20" t="str">
        <x:v>USD</x:v>
      </x:c>
      <x:c r="F7" s="21" t="n">
        <x:v>7.18</x:v>
      </x:c>
      <x:c r="G7" s="21" t="n">
        <x:v>620</x:v>
      </x:c>
      <x:c r="H7" s="21" t="n">
        <x:f>F7*G7</x:f>
        <x:v>4451.599999999999</x:v>
      </x:c>
      <x:c r="I7" s="20" t="str">
        <x:v>SO-202607-002</x:v>
      </x:c>
      <x:c r="J7" s="20" t="str">
        <x:v>美元销售订单收款</x:v>
      </x:c>
      <x:c r="K7" s="20" t="str">
        <x:v>bank-statement-20260802.xlsx</x:v>
      </x:c>
      <x:c r="L7" s="20" t="str">
        <x:v>汇率按流水日期维护</x:v>
      </x:c>
    </x:row>
  </x:sheetData>
  <x:mergeCells>
    <x:mergeCell ref="A1:L1"/>
    <x:mergeCell ref="A2:L2"/>
  </x:mergeCells>
  <x:dataValidations count="2">
    <x:dataValidation type="list" sqref="C5:C100">
      <x:formula1>"收款,付款"</x:formula1>
    </x:dataValidation>
    <x:dataValidation type="list" sqref="E5:E100">
      <x:formula1>"CNY,USD"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01899e486d4721"/>
  </x:tableParts>
</x:worksheet>
</file>